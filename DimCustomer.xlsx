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 TECH\Desktop\Fall 2025\CT-463 Data Warehousing and Mining\CT-463 DWM Practical\DWM Manual\DWM Lab 1\Database\"/>
    </mc:Choice>
  </mc:AlternateContent>
  <xr:revisionPtr revIDLastSave="0" documentId="13_ncr:1_{2058A8C9-8C0D-4190-B40F-A6AAFEC7C4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<sst xmlns="http://schemas.openxmlformats.org/spreadsheetml/2006/main" count="71" uniqueCount="45">
  <si>
    <t>CustomerKey</t>
  </si>
  <si>
    <t>CustomerID</t>
  </si>
  <si>
    <t>FullName</t>
  </si>
  <si>
    <t>Email</t>
  </si>
  <si>
    <t>Phone</t>
  </si>
  <si>
    <t>City</t>
  </si>
  <si>
    <t>State</t>
  </si>
  <si>
    <t>Country</t>
  </si>
  <si>
    <t>JoinDate</t>
  </si>
  <si>
    <t>DataQualityStatus</t>
  </si>
  <si>
    <t>IsActive</t>
  </si>
  <si>
    <t>Ali Khan</t>
  </si>
  <si>
    <t>ali.khan@example.com</t>
  </si>
  <si>
    <t>Karachi</t>
  </si>
  <si>
    <t>Sindh</t>
  </si>
  <si>
    <t>Pakistan</t>
  </si>
  <si>
    <t>Clean</t>
  </si>
  <si>
    <t>Ayesha Ahmed</t>
  </si>
  <si>
    <t>ayesha.ahmed@example.com</t>
  </si>
  <si>
    <t>Lahore</t>
  </si>
  <si>
    <t>Punjab</t>
  </si>
  <si>
    <t>Dirty-Repairable</t>
  </si>
  <si>
    <t>Bilal Hussain</t>
  </si>
  <si>
    <t>bilal.hussain@example.com</t>
  </si>
  <si>
    <t>Islamabad</t>
  </si>
  <si>
    <t>Capital</t>
  </si>
  <si>
    <t>Dua Shaikh</t>
  </si>
  <si>
    <t>dua.shaikh@example.com</t>
  </si>
  <si>
    <t>Multan</t>
  </si>
  <si>
    <t>Dirty-Unrepairable</t>
  </si>
  <si>
    <t>Eman Malik</t>
  </si>
  <si>
    <t>eman.malik@example.com</t>
  </si>
  <si>
    <t>Hyderabad</t>
  </si>
  <si>
    <t>Faraz Siddiqui</t>
  </si>
  <si>
    <t>faraz.siddiqui@example.com</t>
  </si>
  <si>
    <t>Faisalabad</t>
  </si>
  <si>
    <t>Hina Chaudhry</t>
  </si>
  <si>
    <t>hina.chaudhry@example.com</t>
  </si>
  <si>
    <t>Rawalpindi</t>
  </si>
  <si>
    <t>Imran Ansari</t>
  </si>
  <si>
    <t>imran.ansari@example.com</t>
  </si>
  <si>
    <t>Javeria Raza</t>
  </si>
  <si>
    <t>javeria.raza@example.com</t>
  </si>
  <si>
    <t>Kashif Butt</t>
  </si>
  <si>
    <t>kashif.butt@example.com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</si>
</sst>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ran.ansari@example.com" TargetMode="External"/><Relationship Id="rId3" Type="http://schemas.openxmlformats.org/officeDocument/2006/relationships/hyperlink" Target="mailto:bilal.hussain@example.com" TargetMode="External"/><Relationship Id="rId7" Type="http://schemas.openxmlformats.org/officeDocument/2006/relationships/hyperlink" Target="mailto:hina.chaudhry@example.com" TargetMode="External"/><Relationship Id="rId2" Type="http://schemas.openxmlformats.org/officeDocument/2006/relationships/hyperlink" Target="mailto:ayesha.ahmed@example.com" TargetMode="External"/><Relationship Id="rId1" Type="http://schemas.openxmlformats.org/officeDocument/2006/relationships/hyperlink" Target="mailto:ali.khan@example.com" TargetMode="External"/><Relationship Id="rId6" Type="http://schemas.openxmlformats.org/officeDocument/2006/relationships/hyperlink" Target="mailto:faraz.siddiqui@example.com" TargetMode="External"/><Relationship Id="rId5" Type="http://schemas.openxmlformats.org/officeDocument/2006/relationships/hyperlink" Target="mailto:eman.malik@example.com" TargetMode="External"/><Relationship Id="rId10" Type="http://schemas.openxmlformats.org/officeDocument/2006/relationships/hyperlink" Target="mailto:kashif.butt@example.com" TargetMode="External"/><Relationship Id="rId4" Type="http://schemas.openxmlformats.org/officeDocument/2006/relationships/hyperlink" Target="mailto:dua.shaikh@example.com" TargetMode="External"/><Relationship Id="rId9" Type="http://schemas.openxmlformats.org/officeDocument/2006/relationships/hyperlink" Target="mailto:javeria.raz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1"/>
    </sheetView>
  </sheetViews>
  <sheetFormatPr defaultRowHeight="14.5" x14ac:dyDescent="0.35"/>
  <cols>
    <col min="1" max="1" width="13.1796875" customWidth="1"/>
    <col min="2" max="2" width="12.81640625" customWidth="1"/>
    <col min="3" max="3" width="17.36328125" customWidth="1"/>
    <col min="4" max="4" width="31.81640625" customWidth="1"/>
    <col min="5" max="5" width="15.36328125" customWidth="1"/>
    <col min="6" max="6" width="14" customWidth="1"/>
    <col min="9" max="9" width="11.7265625" customWidth="1"/>
    <col min="10" max="10" width="18.6328125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1">
        <v>1</v>
      </c>
      <c r="B2" s="1">
        <v>1000001</v>
      </c>
      <c r="C2" s="1" t="s">
        <v>11</v>
      </c>
      <c r="D2" s="2" t="s">
        <v>12</v>
      </c>
      <c r="E2" s="1">
        <f>92-3001234567</f>
        <v>-3001234475</v>
      </c>
      <c r="F2" s="1" t="s">
        <v>13</v>
      </c>
      <c r="G2" s="1" t="s">
        <v>14</v>
      </c>
      <c r="H2" s="1" t="s">
        <v>15</v>
      </c>
      <c r="I2" s="3">
        <v>44635</v>
      </c>
      <c r="J2" s="1" t="s">
        <v>16</v>
      </c>
      <c r="K2" s="1" t="b">
        <v>1</v>
      </c>
    </row>
    <row r="3" spans="1:11" x14ac:dyDescent="0.35">
      <c r="A3" s="1">
        <v>2</v>
      </c>
      <c r="B3" s="1">
        <v>1000002</v>
      </c>
      <c r="C3" s="1" t="s">
        <v>17</v>
      </c>
      <c r="D3" s="2" t="s">
        <v>18</v>
      </c>
      <c r="E3" s="1">
        <f>92-3217654321</f>
        <v>-3217654229</v>
      </c>
      <c r="F3" s="1" t="s">
        <v>19</v>
      </c>
      <c r="G3" s="1" t="s">
        <v>20</v>
      </c>
      <c r="H3" s="1" t="s">
        <v>15</v>
      </c>
      <c r="I3" s="3">
        <v>44946</v>
      </c>
      <c r="J3" s="1" t="s">
        <v>21</v>
      </c>
      <c r="K3" s="1" t="b">
        <v>1</v>
      </c>
    </row>
    <row r="4" spans="1:11" x14ac:dyDescent="0.35">
      <c r="A4" s="1">
        <v>3</v>
      </c>
      <c r="B4" s="1">
        <v>1000003</v>
      </c>
      <c r="C4" s="1" t="s">
        <v>22</v>
      </c>
      <c r="D4" s="2" t="s">
        <v>23</v>
      </c>
      <c r="E4" s="1">
        <f>92-3349988776</f>
        <v>-3349988684</v>
      </c>
      <c r="F4" s="1" t="s">
        <v>24</v>
      </c>
      <c r="G4" s="1" t="s">
        <v>25</v>
      </c>
      <c r="H4" s="1" t="s">
        <v>15</v>
      </c>
      <c r="I4" s="3">
        <v>44388</v>
      </c>
      <c r="J4" s="1" t="s">
        <v>16</v>
      </c>
      <c r="K4" s="1" t="b">
        <v>1</v>
      </c>
    </row>
    <row r="5" spans="1:11" x14ac:dyDescent="0.35">
      <c r="A5" s="1">
        <v>4</v>
      </c>
      <c r="B5" s="1">
        <v>1000004</v>
      </c>
      <c r="C5" s="1" t="s">
        <v>26</v>
      </c>
      <c r="D5" s="2" t="s">
        <v>27</v>
      </c>
      <c r="E5" s="1">
        <f>92-3124455667</f>
        <v>-3124455575</v>
      </c>
      <c r="F5" s="1" t="s">
        <v>28</v>
      </c>
      <c r="G5" s="1" t="s">
        <v>20</v>
      </c>
      <c r="H5" s="1" t="s">
        <v>15</v>
      </c>
      <c r="I5" s="3">
        <v>44867</v>
      </c>
      <c r="J5" s="1" t="s">
        <v>29</v>
      </c>
      <c r="K5" s="1" t="b">
        <v>0</v>
      </c>
    </row>
    <row r="6" spans="1:11" x14ac:dyDescent="0.35">
      <c r="A6" s="1">
        <v>5</v>
      </c>
      <c r="B6" s="1">
        <v>1000005</v>
      </c>
      <c r="C6" s="1" t="s">
        <v>30</v>
      </c>
      <c r="D6" s="2" t="s">
        <v>31</v>
      </c>
      <c r="E6" s="1">
        <f>92-3457766554</f>
        <v>-3457766462</v>
      </c>
      <c r="F6" s="1" t="s">
        <v>32</v>
      </c>
      <c r="G6" s="1" t="s">
        <v>14</v>
      </c>
      <c r="H6" s="1" t="s">
        <v>15</v>
      </c>
      <c r="I6" s="3">
        <v>44464</v>
      </c>
      <c r="J6" s="1" t="s">
        <v>16</v>
      </c>
      <c r="K6" s="1" t="b">
        <v>1</v>
      </c>
    </row>
    <row r="7" spans="1:11" x14ac:dyDescent="0.35">
      <c r="A7" s="1">
        <v>6</v>
      </c>
      <c r="B7" s="1">
        <v>1000006</v>
      </c>
      <c r="C7" s="1" t="s">
        <v>33</v>
      </c>
      <c r="D7" s="2" t="s">
        <v>34</v>
      </c>
      <c r="E7" s="1">
        <f>92-3221122334</f>
        <v>-3221122242</v>
      </c>
      <c r="F7" s="1" t="s">
        <v>35</v>
      </c>
      <c r="G7" s="1" t="s">
        <v>20</v>
      </c>
      <c r="H7" s="1" t="s">
        <v>15</v>
      </c>
      <c r="I7" s="3">
        <v>45076</v>
      </c>
      <c r="J7" s="1" t="s">
        <v>21</v>
      </c>
      <c r="K7" s="1" t="b">
        <v>1</v>
      </c>
    </row>
    <row r="8" spans="1:11" x14ac:dyDescent="0.35">
      <c r="A8" s="1">
        <v>7</v>
      </c>
      <c r="B8" s="1">
        <v>1000007</v>
      </c>
      <c r="C8" s="1" t="s">
        <v>36</v>
      </c>
      <c r="D8" s="2" t="s">
        <v>37</v>
      </c>
      <c r="E8" s="1">
        <f>92-3195566778</f>
        <v>-3195566686</v>
      </c>
      <c r="F8" s="1" t="s">
        <v>38</v>
      </c>
      <c r="G8" s="1" t="s">
        <v>20</v>
      </c>
      <c r="H8" s="1" t="s">
        <v>15</v>
      </c>
      <c r="I8" s="3">
        <v>44786</v>
      </c>
      <c r="J8" s="1" t="s">
        <v>16</v>
      </c>
      <c r="K8" s="1" t="b">
        <v>1</v>
      </c>
    </row>
    <row r="9" spans="1:11" x14ac:dyDescent="0.35">
      <c r="A9" s="1">
        <v>8</v>
      </c>
      <c r="B9" s="1">
        <v>1000008</v>
      </c>
      <c r="C9" s="1" t="s">
        <v>39</v>
      </c>
      <c r="D9" s="2" t="s">
        <v>40</v>
      </c>
      <c r="E9" s="1">
        <f>92-3334433221</f>
        <v>-3334433129</v>
      </c>
      <c r="F9" s="1" t="s">
        <v>13</v>
      </c>
      <c r="G9" s="1" t="s">
        <v>14</v>
      </c>
      <c r="H9" s="1" t="s">
        <v>15</v>
      </c>
      <c r="I9" s="3">
        <v>44366</v>
      </c>
      <c r="J9" s="1" t="s">
        <v>29</v>
      </c>
      <c r="K9" s="1" t="b">
        <v>0</v>
      </c>
    </row>
    <row r="10" spans="1:11" x14ac:dyDescent="0.35">
      <c r="A10" s="1">
        <v>9</v>
      </c>
      <c r="B10" s="1">
        <v>1000009</v>
      </c>
      <c r="C10" s="1" t="s">
        <v>41</v>
      </c>
      <c r="D10" s="2" t="s">
        <v>42</v>
      </c>
      <c r="E10" s="1">
        <f>92-3019988775</f>
        <v>-3019988683</v>
      </c>
      <c r="F10" s="1" t="s">
        <v>19</v>
      </c>
      <c r="G10" s="1" t="s">
        <v>20</v>
      </c>
      <c r="H10" s="1" t="s">
        <v>15</v>
      </c>
      <c r="I10" s="3">
        <v>44965</v>
      </c>
      <c r="J10" s="1" t="s">
        <v>16</v>
      </c>
      <c r="K10" s="1" t="b">
        <v>1</v>
      </c>
    </row>
    <row r="11" spans="1:11" x14ac:dyDescent="0.35">
      <c r="A11" s="1">
        <v>10</v>
      </c>
      <c r="B11" s="1">
        <v>1000010</v>
      </c>
      <c r="C11" s="1" t="s">
        <v>43</v>
      </c>
      <c r="D11" s="2" t="s">
        <v>44</v>
      </c>
      <c r="E11" s="1">
        <f>92-3256677889</f>
        <v>-3256677797</v>
      </c>
      <c r="F11" s="1" t="s">
        <v>24</v>
      </c>
      <c r="G11" s="1" t="s">
        <v>25</v>
      </c>
      <c r="H11" s="1" t="s">
        <v>15</v>
      </c>
      <c r="I11" s="3">
        <v>44668</v>
      </c>
      <c r="J11" s="1" t="s">
        <v>21</v>
      </c>
      <c r="K11" s="1" t="b">
        <v>1</v>
      </c>
    </row>
  </sheetData>
  <hyperlinks>
    <hyperlink ref="D2" r:id="rId1" display="mailto:ali.khan@example.com" xr:uid="{B0EE8354-DCC4-4346-96C1-FC6EB10F816E}"/>
    <hyperlink ref="D3" r:id="rId2" display="mailto:ayesha.ahmed@example.com" xr:uid="{5F93BA82-6B5B-44AA-B765-AFB0A10A0C1D}"/>
    <hyperlink ref="D4" r:id="rId3" display="mailto:bilal.hussain@example.com" xr:uid="{83A939BC-0863-4007-8157-F3853A918F18}"/>
    <hyperlink ref="D5" r:id="rId4" display="mailto:dua.shaikh@example.com" xr:uid="{72471E0C-8B16-48BC-BDDD-D9FD044BE026}"/>
    <hyperlink ref="D6" r:id="rId5" display="mailto:eman.malik@example.com" xr:uid="{561CFCEA-3ACA-4B54-B99F-CACDF520A781}"/>
    <hyperlink ref="D7" r:id="rId6" display="mailto:faraz.siddiqui@example.com" xr:uid="{0FF1F902-C3D7-4901-80B2-584E0A7B56A4}"/>
    <hyperlink ref="D8" r:id="rId7" display="mailto:hina.chaudhry@example.com" xr:uid="{C63EBD74-3BC9-4303-B8EB-7609588F5BBE}"/>
    <hyperlink ref="D9" r:id="rId8" display="mailto:imran.ansari@example.com" xr:uid="{C1F515D0-C4A5-4A67-9FE4-A61E790F6B0D}"/>
    <hyperlink ref="D10" r:id="rId9" display="mailto:javeria.raza@example.com" xr:uid="{0DB685FE-FD1C-406E-8DDC-7487B835A137}"/>
    <hyperlink ref="D11" r:id="rId10" display="mailto:kashif.butt@example.com" xr:uid="{E3165B4B-927E-49FF-8A35-5D78D3662F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TECH</dc:creator>
  <cp:lastModifiedBy>fatimamehar424@gmail.com</cp:lastModifiedBy>
  <dcterms:created xsi:type="dcterms:W3CDTF">2015-06-05T18:17:20Z</dcterms:created>
  <dcterms:modified xsi:type="dcterms:W3CDTF">2025-09-06T02:50:50Z</dcterms:modified>
</cp:coreProperties>
</file>